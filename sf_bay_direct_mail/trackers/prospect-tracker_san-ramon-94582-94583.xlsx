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Summary" sheetId="1" state="visible" r:id="rId1"/>
    <sheet xmlns:r="http://schemas.openxmlformats.org/officeDocument/2006/relationships" name="San Ramon 9458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E1F3A"/>
      <sz val="18"/>
    </font>
    <font>
      <b val="1"/>
      <color rgb="000E1F3A"/>
    </font>
    <font>
      <b val="1"/>
    </font>
    <font>
      <b val="1"/>
      <color rgb="000E1F3A"/>
      <sz val="16"/>
    </font>
    <font>
      <i val="1"/>
      <color rgb="006A7080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E1F3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1" t="inlineStr">
        <is>
          <t>San Ramon 94582/94583 · Campaign Summary</t>
        </is>
      </c>
    </row>
    <row r="3">
      <c r="A3" s="2" t="inlineStr">
        <is>
          <t>Community</t>
        </is>
      </c>
      <c r="B3" s="3" t="inlineStr">
        <is>
          <t>San Ramon</t>
        </is>
      </c>
    </row>
    <row r="4">
      <c r="A4" s="2" t="inlineStr">
        <is>
          <t>Zip code(s)</t>
        </is>
      </c>
      <c r="B4" s="3" t="inlineStr">
        <is>
          <t>94582/94583</t>
        </is>
      </c>
    </row>
    <row r="5">
      <c r="A5" s="2" t="inlineStr">
        <is>
          <t>Target households</t>
        </is>
      </c>
      <c r="B5" s="3" t="n">
        <v>6000</v>
      </c>
    </row>
    <row r="6">
      <c r="A6" s="2" t="inlineStr">
        <is>
          <t>Target ad slots</t>
        </is>
      </c>
      <c r="B6" s="3" t="n">
        <v>8</v>
      </c>
    </row>
    <row r="7">
      <c r="A7" s="2" t="inlineStr">
        <is>
          <t>Standard ad price ($)</t>
        </is>
      </c>
      <c r="B7" s="3" t="n">
        <v>650</v>
      </c>
    </row>
    <row r="8">
      <c r="A8" s="2" t="inlineStr">
        <is>
          <t>Premium ad price ($)</t>
        </is>
      </c>
      <c r="B8" s="3" t="n">
        <v>950</v>
      </c>
    </row>
    <row r="9">
      <c r="A9" s="2" t="inlineStr">
        <is>
          <t>Printing cost est. ($)</t>
        </is>
      </c>
      <c r="B9" s="3" t="n">
        <v>350</v>
      </c>
    </row>
    <row r="10">
      <c r="A10" s="2" t="inlineStr">
        <is>
          <t>EDDM postage rate ($/piece)</t>
        </is>
      </c>
      <c r="B10" s="3" t="n">
        <v>0.247</v>
      </c>
    </row>
    <row r="11">
      <c r="A11" s="2" t="inlineStr">
        <is>
          <t>Misc cost est. ($)</t>
        </is>
      </c>
      <c r="B11" s="3" t="n">
        <v>100</v>
      </c>
    </row>
    <row r="13">
      <c r="A13" s="4" t="inlineStr">
        <is>
          <t>EDDM postage cost ($)</t>
        </is>
      </c>
      <c r="B13">
        <f>B5*B10</f>
        <v/>
      </c>
    </row>
    <row r="14">
      <c r="A14" s="4" t="inlineStr">
        <is>
          <t>Total cost est. ($)</t>
        </is>
      </c>
      <c r="B14">
        <f>B9+B13+B11</f>
        <v/>
      </c>
    </row>
    <row r="15">
      <c r="A15" s="4" t="inlineStr">
        <is>
          <t>Revenue if 6 standard ($)</t>
        </is>
      </c>
      <c r="B15">
        <f>B7*6</f>
        <v/>
      </c>
    </row>
    <row r="16">
      <c r="A16" s="4" t="inlineStr">
        <is>
          <t>Revenue if 6 std + 2 premium ($)</t>
        </is>
      </c>
      <c r="B16">
        <f>B7*6+B8*2</f>
        <v/>
      </c>
    </row>
    <row r="17">
      <c r="A17" s="4" t="inlineStr">
        <is>
          <t>Net @ 6 standard ($)</t>
        </is>
      </c>
      <c r="B17">
        <f>B15-B14</f>
        <v/>
      </c>
    </row>
    <row r="18">
      <c r="A18" s="4" t="inlineStr">
        <is>
          <t>Net @ 6 + 2 premium ($)</t>
        </is>
      </c>
      <c r="B18">
        <f>B16-B14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0" customWidth="1" min="3" max="3"/>
    <col width="16" customWidth="1" min="4" max="4"/>
    <col width="24" customWidth="1" min="5" max="5"/>
    <col width="28" customWidth="1" min="6" max="6"/>
    <col width="32" customWidth="1" min="7" max="7"/>
    <col width="14" customWidth="1" min="8" max="8"/>
    <col width="14" customWidth="1" min="9" max="9"/>
    <col width="22" customWidth="1" min="10" max="10"/>
    <col width="12" customWidth="1" min="11" max="11"/>
    <col width="22" customWidth="1" min="12" max="12"/>
    <col width="14" customWidth="1" min="13" max="13"/>
    <col width="28" customWidth="1" min="14" max="14"/>
    <col width="14" customWidth="1" min="15" max="15"/>
    <col width="14" customWidth="1" min="16" max="16"/>
    <col width="50" customWidth="1" min="17" max="17"/>
  </cols>
  <sheetData>
    <row r="1" ht="26" customHeight="1">
      <c r="A1" s="5" t="inlineStr">
        <is>
          <t>San Ramon, CA — 94582/94583 · Prospect Tracker</t>
        </is>
      </c>
    </row>
    <row r="2">
      <c r="A2" s="6" t="inlineStr">
        <is>
          <t>One business per category gets the slot. Mark Locked? = Y once deposit is paid.</t>
        </is>
      </c>
    </row>
    <row r="4" ht="28" customHeight="1">
      <c r="A4" s="7" t="inlineStr">
        <is>
          <t>Category</t>
        </is>
      </c>
      <c r="B4" s="7" t="inlineStr">
        <is>
          <t>Business Name</t>
        </is>
      </c>
      <c r="C4" s="7" t="inlineStr">
        <is>
          <t>Website</t>
        </is>
      </c>
      <c r="D4" s="7" t="inlineStr">
        <is>
          <t>Phone</t>
        </is>
      </c>
      <c r="E4" s="7" t="inlineStr">
        <is>
          <t>Owner / Decision Maker</t>
        </is>
      </c>
      <c r="F4" s="7" t="inlineStr">
        <is>
          <t>Email</t>
        </is>
      </c>
      <c r="G4" s="7" t="inlineStr">
        <is>
          <t>Address</t>
        </is>
      </c>
      <c r="H4" s="7" t="inlineStr">
        <is>
          <t>Google Rating</t>
        </is>
      </c>
      <c r="I4" s="7" t="inlineStr">
        <is>
          <t>Years in Business</t>
        </is>
      </c>
      <c r="J4" s="7" t="inlineStr">
        <is>
          <t>Rating (IDEAL/STRONG/GOOD)</t>
        </is>
      </c>
      <c r="K4" s="7" t="inlineStr">
        <is>
          <t>Locked? (Y/N)</t>
        </is>
      </c>
      <c r="L4" s="7" t="inlineStr">
        <is>
          <t>Status</t>
        </is>
      </c>
      <c r="M4" s="7" t="inlineStr">
        <is>
          <t>Last Touch Date</t>
        </is>
      </c>
      <c r="N4" s="7" t="inlineStr">
        <is>
          <t>Next Action</t>
        </is>
      </c>
      <c r="O4" s="7" t="inlineStr">
        <is>
          <t>Quoted Price</t>
        </is>
      </c>
      <c r="P4" s="7" t="inlineStr">
        <is>
          <t>Deposit Paid?</t>
        </is>
      </c>
      <c r="Q4" s="7" t="inlineStr">
        <is>
          <t>Notes</t>
        </is>
      </c>
    </row>
    <row r="5">
      <c r="A5" s="8" t="inlineStr">
        <is>
          <t>HVAC</t>
        </is>
      </c>
      <c r="B5" s="8" t="inlineStr">
        <is>
          <t>Bishop Ranch HVAC Services</t>
        </is>
      </c>
      <c r="C5" s="8" t="inlineStr">
        <is>
          <t>brhvac.example</t>
        </is>
      </c>
      <c r="D5" s="8" t="inlineStr">
        <is>
          <t>(925) 555-0240</t>
        </is>
      </c>
      <c r="E5" s="8" t="inlineStr"/>
      <c r="F5" s="8" t="inlineStr"/>
      <c r="G5" s="8" t="inlineStr">
        <is>
          <t>San Ramon, CA 94583</t>
        </is>
      </c>
      <c r="H5" s="8" t="inlineStr"/>
      <c r="I5" s="8" t="inlineStr"/>
      <c r="J5" s="8" t="inlineStr">
        <is>
          <t>IDEAL</t>
        </is>
      </c>
      <c r="K5" s="8" t="inlineStr">
        <is>
          <t>N</t>
        </is>
      </c>
      <c r="L5" s="8" t="inlineStr">
        <is>
          <t>Not contacted</t>
        </is>
      </c>
    </row>
    <row r="6">
      <c r="A6" s="8" t="inlineStr">
        <is>
          <t>HVAC</t>
        </is>
      </c>
      <c r="B6" s="8" t="inlineStr">
        <is>
          <t>Dougherty Valley Heating</t>
        </is>
      </c>
      <c r="C6" s="8" t="inlineStr">
        <is>
          <t>doughertyhvac.example</t>
        </is>
      </c>
      <c r="D6" s="8" t="inlineStr">
        <is>
          <t>(925) 555-0241</t>
        </is>
      </c>
      <c r="E6" s="8" t="inlineStr"/>
      <c r="F6" s="8" t="inlineStr"/>
      <c r="G6" s="8" t="inlineStr">
        <is>
          <t>San Ramon, CA 94582</t>
        </is>
      </c>
      <c r="H6" s="8" t="inlineStr"/>
      <c r="I6" s="8" t="inlineStr"/>
      <c r="J6" s="8" t="inlineStr">
        <is>
          <t>STRONG</t>
        </is>
      </c>
      <c r="K6" s="8" t="inlineStr">
        <is>
          <t>N</t>
        </is>
      </c>
      <c r="L6" s="8" t="inlineStr">
        <is>
          <t>Not contacted</t>
        </is>
      </c>
    </row>
    <row r="7">
      <c r="A7" s="8" t="inlineStr">
        <is>
          <t>Pest Control</t>
        </is>
      </c>
      <c r="B7" s="8" t="inlineStr">
        <is>
          <t>Tri-Valley Pest Pros</t>
        </is>
      </c>
      <c r="C7" s="8" t="inlineStr">
        <is>
          <t>tvpestpros.example</t>
        </is>
      </c>
      <c r="D7" s="8" t="inlineStr">
        <is>
          <t>(925) 555-0252</t>
        </is>
      </c>
      <c r="E7" s="8" t="inlineStr"/>
      <c r="F7" s="8" t="inlineStr"/>
      <c r="G7" s="8" t="inlineStr">
        <is>
          <t>San Ramon, CA 94583</t>
        </is>
      </c>
      <c r="H7" s="8" t="inlineStr"/>
      <c r="I7" s="8" t="inlineStr"/>
      <c r="J7" s="8" t="inlineStr">
        <is>
          <t>STRONG</t>
        </is>
      </c>
      <c r="K7" s="8" t="inlineStr">
        <is>
          <t>N</t>
        </is>
      </c>
      <c r="L7" s="8" t="inlineStr">
        <is>
          <t>Not contacted</t>
        </is>
      </c>
    </row>
    <row r="8">
      <c r="A8" s="8" t="inlineStr">
        <is>
          <t>Pool Service</t>
        </is>
      </c>
      <c r="B8" s="8" t="inlineStr">
        <is>
          <t>Gale Ranch Pool Care</t>
        </is>
      </c>
      <c r="C8" s="8" t="inlineStr">
        <is>
          <t>galeranchpool.example</t>
        </is>
      </c>
      <c r="D8" s="8" t="inlineStr">
        <is>
          <t>(925) 555-0263</t>
        </is>
      </c>
      <c r="E8" s="8" t="inlineStr"/>
      <c r="F8" s="8" t="inlineStr"/>
      <c r="G8" s="8" t="inlineStr">
        <is>
          <t>San Ramon, CA 94582</t>
        </is>
      </c>
      <c r="H8" s="8" t="inlineStr"/>
      <c r="I8" s="8" t="inlineStr"/>
      <c r="J8" s="8" t="inlineStr">
        <is>
          <t>IDEAL</t>
        </is>
      </c>
      <c r="K8" s="8" t="inlineStr">
        <is>
          <t>N</t>
        </is>
      </c>
      <c r="L8" s="8" t="inlineStr">
        <is>
          <t>Not contacted</t>
        </is>
      </c>
    </row>
    <row r="9">
      <c r="A9" s="8" t="inlineStr">
        <is>
          <t>Landscaping</t>
        </is>
      </c>
      <c r="B9" s="8" t="inlineStr">
        <is>
          <t>Windemere Landscape Co.</t>
        </is>
      </c>
      <c r="C9" s="8" t="inlineStr">
        <is>
          <t>windemerelandscape.example</t>
        </is>
      </c>
      <c r="D9" s="8" t="inlineStr">
        <is>
          <t>(925) 555-0271</t>
        </is>
      </c>
      <c r="E9" s="8" t="inlineStr"/>
      <c r="F9" s="8" t="inlineStr"/>
      <c r="G9" s="8" t="inlineStr">
        <is>
          <t>San Ramon, CA 94582</t>
        </is>
      </c>
      <c r="H9" s="8" t="inlineStr"/>
      <c r="I9" s="8" t="inlineStr"/>
      <c r="J9" s="8" t="inlineStr">
        <is>
          <t>STRONG</t>
        </is>
      </c>
      <c r="K9" s="8" t="inlineStr">
        <is>
          <t>N</t>
        </is>
      </c>
      <c r="L9" s="8" t="inlineStr">
        <is>
          <t>Not contacted</t>
        </is>
      </c>
    </row>
    <row r="10">
      <c r="A10" s="8" t="inlineStr">
        <is>
          <t>General Dentistry</t>
        </is>
      </c>
      <c r="B10" s="8" t="inlineStr">
        <is>
          <t>Crow Canyon Family Dentistry</t>
        </is>
      </c>
      <c r="C10" s="8" t="inlineStr">
        <is>
          <t>ccfamilydental.example</t>
        </is>
      </c>
      <c r="D10" s="8" t="inlineStr">
        <is>
          <t>(925) 555-0281</t>
        </is>
      </c>
      <c r="E10" s="8" t="inlineStr"/>
      <c r="F10" s="8" t="inlineStr"/>
      <c r="G10" s="8" t="inlineStr">
        <is>
          <t>San Ramon, CA 94583</t>
        </is>
      </c>
      <c r="H10" s="8" t="inlineStr"/>
      <c r="I10" s="8" t="inlineStr"/>
      <c r="J10" s="8" t="inlineStr">
        <is>
          <t>IDEAL</t>
        </is>
      </c>
      <c r="K10" s="8" t="inlineStr">
        <is>
          <t>N</t>
        </is>
      </c>
      <c r="L10" s="8" t="inlineStr">
        <is>
          <t>Not contacted</t>
        </is>
      </c>
    </row>
    <row r="11">
      <c r="A11" s="8" t="inlineStr">
        <is>
          <t>Pediatric Dentistry</t>
        </is>
      </c>
      <c r="B11" s="8" t="inlineStr">
        <is>
          <t>Little Ranch Pediatric Dentistry</t>
        </is>
      </c>
      <c r="C11" s="8" t="inlineStr">
        <is>
          <t>littleranchpeds.example</t>
        </is>
      </c>
      <c r="D11" s="8" t="inlineStr">
        <is>
          <t>(925) 555-0284</t>
        </is>
      </c>
      <c r="E11" s="8" t="inlineStr"/>
      <c r="F11" s="8" t="inlineStr"/>
      <c r="G11" s="8" t="inlineStr">
        <is>
          <t>San Ramon, CA 94582</t>
        </is>
      </c>
      <c r="H11" s="8" t="inlineStr"/>
      <c r="I11" s="8" t="inlineStr"/>
      <c r="J11" s="8" t="inlineStr">
        <is>
          <t>STRONG</t>
        </is>
      </c>
      <c r="K11" s="8" t="inlineStr">
        <is>
          <t>N</t>
        </is>
      </c>
      <c r="L11" s="8" t="inlineStr">
        <is>
          <t>Not contacted</t>
        </is>
      </c>
    </row>
    <row r="12">
      <c r="A12" s="8" t="inlineStr">
        <is>
          <t>Plumbing</t>
        </is>
      </c>
      <c r="B12" s="8" t="inlineStr">
        <is>
          <t>Twin Creeks Plumbing</t>
        </is>
      </c>
      <c r="C12" s="8" t="inlineStr">
        <is>
          <t>twincreeksplumbing.example</t>
        </is>
      </c>
      <c r="D12" s="8" t="inlineStr">
        <is>
          <t>(925) 555-0291</t>
        </is>
      </c>
      <c r="E12" s="8" t="inlineStr"/>
      <c r="F12" s="8" t="inlineStr"/>
      <c r="G12" s="8" t="inlineStr">
        <is>
          <t>San Ramon, CA 94583</t>
        </is>
      </c>
      <c r="H12" s="8" t="inlineStr"/>
      <c r="I12" s="8" t="inlineStr"/>
      <c r="J12" s="8" t="inlineStr">
        <is>
          <t>GOOD</t>
        </is>
      </c>
      <c r="K12" s="8" t="inlineStr">
        <is>
          <t>N</t>
        </is>
      </c>
      <c r="L12" s="8" t="inlineStr">
        <is>
          <t>Not contacted</t>
        </is>
      </c>
    </row>
    <row r="13">
      <c r="A13" s="8" t="inlineStr">
        <is>
          <t>House Cleaning</t>
        </is>
      </c>
      <c r="B13" s="8" t="inlineStr">
        <is>
          <t>Dougherty Home Cleaners</t>
        </is>
      </c>
      <c r="C13" s="8" t="inlineStr">
        <is>
          <t>doughertyhomeclean.example</t>
        </is>
      </c>
      <c r="D13" s="8" t="inlineStr">
        <is>
          <t>(925) 555-0301</t>
        </is>
      </c>
      <c r="E13" s="8" t="inlineStr"/>
      <c r="F13" s="8" t="inlineStr"/>
      <c r="G13" s="8" t="inlineStr">
        <is>
          <t>San Ramon, CA 94582</t>
        </is>
      </c>
      <c r="H13" s="8" t="inlineStr"/>
      <c r="I13" s="8" t="inlineStr"/>
      <c r="J13" s="8" t="inlineStr">
        <is>
          <t>GOOD</t>
        </is>
      </c>
      <c r="K13" s="8" t="inlineStr">
        <is>
          <t>N</t>
        </is>
      </c>
      <c r="L13" s="8" t="inlineStr">
        <is>
          <t>Not contacted</t>
        </is>
      </c>
    </row>
    <row r="14">
      <c r="A14" s="8" t="inlineStr">
        <is>
          <t>Med Spa / Aesthetics</t>
        </is>
      </c>
      <c r="B14" s="8" t="inlineStr">
        <is>
          <t>San Ramon Med Spa &amp; Laser</t>
        </is>
      </c>
      <c r="C14" s="8" t="inlineStr">
        <is>
          <t>srmedspa.example</t>
        </is>
      </c>
      <c r="D14" s="8" t="inlineStr">
        <is>
          <t>(925) 555-0311</t>
        </is>
      </c>
      <c r="E14" s="8" t="inlineStr"/>
      <c r="F14" s="8" t="inlineStr"/>
      <c r="G14" s="8" t="inlineStr">
        <is>
          <t>San Ramon, CA 94583</t>
        </is>
      </c>
      <c r="H14" s="8" t="inlineStr"/>
      <c r="I14" s="8" t="inlineStr"/>
      <c r="J14" s="8" t="inlineStr">
        <is>
          <t>IDEAL</t>
        </is>
      </c>
      <c r="K14" s="8" t="inlineStr">
        <is>
          <t>N</t>
        </is>
      </c>
      <c r="L14" s="8" t="inlineStr">
        <is>
          <t>Not contacted</t>
        </is>
      </c>
    </row>
    <row r="15">
      <c r="A15" s="8" t="inlineStr">
        <is>
          <t>Roofing</t>
        </is>
      </c>
      <c r="B15" s="8" t="inlineStr">
        <is>
          <t>Ridgeline Roofing of San Ramon</t>
        </is>
      </c>
      <c r="C15" s="8" t="inlineStr">
        <is>
          <t>ridgelineroofing.example</t>
        </is>
      </c>
      <c r="D15" s="8" t="inlineStr">
        <is>
          <t>(925) 555-0321</t>
        </is>
      </c>
      <c r="E15" s="8" t="inlineStr"/>
      <c r="F15" s="8" t="inlineStr"/>
      <c r="G15" s="8" t="inlineStr">
        <is>
          <t>San Ramon, CA 94583</t>
        </is>
      </c>
      <c r="H15" s="8" t="inlineStr"/>
      <c r="I15" s="8" t="inlineStr"/>
      <c r="J15" s="8" t="inlineStr">
        <is>
          <t>STRONG</t>
        </is>
      </c>
      <c r="K15" s="8" t="inlineStr">
        <is>
          <t>N</t>
        </is>
      </c>
      <c r="L15" s="8" t="inlineStr">
        <is>
          <t>Not contacted</t>
        </is>
      </c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</row>
  </sheetData>
  <mergeCells count="2">
    <mergeCell ref="A2:Q2"/>
    <mergeCell ref="A1:Q1"/>
  </mergeCells>
  <dataValidations count="5">
    <dataValidation sqref="J5:J34" showDropDown="0" showInputMessage="0" showErrorMessage="0" allowBlank="1" type="list">
      <formula1>"IDEAL,STRONG,GOOD,MAYBE,PASS"</formula1>
    </dataValidation>
    <dataValidation sqref="L5:L34" showDropDown="0" showInputMessage="0" showErrorMessage="0" allowBlank="1" type="list">
      <formula1>"Not contacted,Email 1 sent,Email 2 sent,Email 3 sent,Phone follow-up,Meeting booked,Proposal sent,Verbal yes,Deposit paid,Signed + paid in full,Lost,Renewal candidate"</formula1>
    </dataValidation>
    <dataValidation sqref="K5:K34" showDropDown="0" showInputMessage="0" showErrorMessage="0" allowBlank="1" type="list">
      <formula1>"Y,N"</formula1>
    </dataValidation>
    <dataValidation sqref="P5:P34" showDropDown="0" showInputMessage="0" showErrorMessage="0" allowBlank="1" type="list">
      <formula1>"Y,N"</formula1>
    </dataValidation>
    <dataValidation sqref="A5:A34" showDropDown="0" showInputMessage="0" showErrorMessage="0" allowBlank="1" type="list">
      <formula1>"HVAC,Pest Control,General Dentistry,Pediatric Dentistry,Pool Service,Landscaping,Plumbing,Roofing,House Cleaning,Med Spa / Aesthetics"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2026-05-02T07:03:33Z</dcterms:created>
  <dcterms:modified xmlns:dcterms="http://purl.org/dc/terms/" xmlns:xsi="http://www.w3.org/2001/XMLSchema-instance" xsi:type="dcterms:W3CDTF">2026-05-02T07:03:33Z</dcterms:modified>
</cp:coreProperties>
</file>